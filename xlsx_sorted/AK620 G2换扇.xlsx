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_\Syncthing\"/>
    </mc:Choice>
  </mc:AlternateContent>
  <xr:revisionPtr revIDLastSave="0" documentId="13_ncr:1_{FD1BA91F-FB9E-4F83-A5C0-CAEB80DBF0B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2" i="1"/>
  <c r="AI3" i="1"/>
  <c r="AI2" i="1"/>
  <c r="AF3" i="1"/>
  <c r="AF2" i="1"/>
  <c r="AC3" i="1"/>
  <c r="AC2" i="1"/>
  <c r="Z3" i="1"/>
  <c r="Z2" i="1"/>
  <c r="W3" i="1"/>
  <c r="W2" i="1"/>
  <c r="T3" i="1"/>
  <c r="T2" i="1"/>
  <c r="Q3" i="1"/>
  <c r="Q2" i="1"/>
  <c r="N3" i="1"/>
  <c r="N2" i="1"/>
  <c r="K3" i="1"/>
  <c r="K2" i="1"/>
  <c r="H3" i="1"/>
  <c r="H2" i="1"/>
  <c r="E3" i="1"/>
  <c r="E2" i="1"/>
  <c r="B3" i="1"/>
  <c r="B2" i="1"/>
  <c r="C2" i="1"/>
</calcChain>
</file>

<file path=xl/sharedStrings.xml><?xml version="1.0" encoding="utf-8"?>
<sst xmlns="http://schemas.openxmlformats.org/spreadsheetml/2006/main" count="13" uniqueCount="13">
  <si>
    <t>FK12 V2</t>
    <phoneticPr fontId="1" type="noConversion"/>
  </si>
  <si>
    <t>FD12 V2</t>
    <phoneticPr fontId="1" type="noConversion"/>
  </si>
  <si>
    <t>鸿华12025</t>
    <phoneticPr fontId="1" type="noConversion"/>
  </si>
  <si>
    <t>P2Pro</t>
    <phoneticPr fontId="1" type="noConversion"/>
  </si>
  <si>
    <t>莫比乌斯</t>
    <phoneticPr fontId="1" type="noConversion"/>
  </si>
  <si>
    <t>钢影12Pro</t>
    <phoneticPr fontId="1" type="noConversion"/>
  </si>
  <si>
    <t>A12x25G2</t>
    <phoneticPr fontId="1" type="noConversion"/>
  </si>
  <si>
    <t>玄冥静</t>
    <phoneticPr fontId="1" type="noConversion"/>
  </si>
  <si>
    <t>SC12</t>
    <phoneticPr fontId="1" type="noConversion"/>
  </si>
  <si>
    <t>LP12E</t>
    <phoneticPr fontId="1" type="noConversion"/>
  </si>
  <si>
    <t>P12Pro</t>
    <phoneticPr fontId="1" type="noConversion"/>
  </si>
  <si>
    <t>AT120K</t>
    <phoneticPr fontId="1" type="noConversion"/>
  </si>
  <si>
    <t>9RA12025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</si>
</sst>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topLeftCell="U1" workbookViewId="0">
      <selection activeCell="AF19" sqref="AF19"/>
    </sheetView>
  </sheetViews>
  <sheetFormatPr defaultRowHeight="13.9" x14ac:dyDescent="0.4"/>
  <sheetData>
    <row r="1" spans="1:42" x14ac:dyDescent="0.4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  <c r="AH1" s="1" t="s">
        <v>11</v>
      </c>
      <c r="AI1" s="1"/>
      <c r="AJ1" s="1"/>
      <c r="AK1" s="1" t="s">
        <v>12</v>
      </c>
      <c r="AL1" s="1"/>
      <c r="AM1" s="1"/>
      <c r="AN1" s="1"/>
      <c r="AO1" s="1"/>
      <c r="AP1" s="1"/>
    </row>
    <row r="2" spans="1:42" x14ac:dyDescent="0.4">
      <c r="A2">
        <v>49.7</v>
      </c>
      <c r="B2">
        <f>74.8-21.63</f>
        <v>53.17</v>
      </c>
      <c r="C2">
        <f>2708</f>
        <v>2708</v>
      </c>
      <c r="D2">
        <v>47.8</v>
      </c>
      <c r="E2">
        <f>75-21.55</f>
        <v>53.45</v>
      </c>
      <c r="F2">
        <v>2505</v>
      </c>
      <c r="G2">
        <v>48.4</v>
      </c>
      <c r="H2">
        <f>75.1-21.62</f>
        <v>53.47999999999999</v>
      </c>
      <c r="I2">
        <v>2345</v>
      </c>
      <c r="J2">
        <v>51</v>
      </c>
      <c r="K2">
        <f>74.8-21.73</f>
        <v>53.069999999999993</v>
      </c>
      <c r="L2">
        <v>2600</v>
      </c>
      <c r="M2">
        <v>47.2</v>
      </c>
      <c r="N2">
        <f>75.5-21.8</f>
        <v>53.7</v>
      </c>
      <c r="O2">
        <v>2391</v>
      </c>
      <c r="P2">
        <v>45.9</v>
      </c>
      <c r="Q2">
        <f>76.1-21.83</f>
        <v>54.269999999999996</v>
      </c>
      <c r="R2">
        <v>2027</v>
      </c>
      <c r="S2">
        <v>43.4</v>
      </c>
      <c r="T2">
        <f>77-21.99</f>
        <v>55.010000000000005</v>
      </c>
      <c r="U2">
        <v>1818</v>
      </c>
      <c r="V2">
        <v>54</v>
      </c>
      <c r="W2">
        <f>74.5-21.66</f>
        <v>52.84</v>
      </c>
      <c r="X2">
        <v>3271</v>
      </c>
      <c r="Y2">
        <v>49.8</v>
      </c>
      <c r="Z2">
        <f>75.5-21.74</f>
        <v>53.760000000000005</v>
      </c>
      <c r="AA2">
        <v>1993</v>
      </c>
      <c r="AB2">
        <v>57.9</v>
      </c>
      <c r="AC2">
        <f>74-21.79</f>
        <v>52.21</v>
      </c>
      <c r="AD2">
        <v>3014</v>
      </c>
      <c r="AE2">
        <v>51.9</v>
      </c>
      <c r="AF2">
        <f>75.1-21.88</f>
        <v>53.22</v>
      </c>
      <c r="AG2">
        <v>3020</v>
      </c>
      <c r="AH2">
        <v>53.9</v>
      </c>
      <c r="AI2">
        <f>75-21.92</f>
        <v>53.08</v>
      </c>
      <c r="AJ2">
        <v>3046</v>
      </c>
      <c r="AK2">
        <v>63.6</v>
      </c>
      <c r="AL2">
        <f>73.2-21.9</f>
        <v>51.300000000000004</v>
      </c>
      <c r="AM2">
        <v>4220</v>
      </c>
    </row>
    <row r="3" spans="1:42" x14ac:dyDescent="0.4">
      <c r="A3">
        <v>39.9</v>
      </c>
      <c r="B3">
        <f>77.5-21.68</f>
        <v>55.82</v>
      </c>
      <c r="C3">
        <v>1850</v>
      </c>
      <c r="D3">
        <v>40</v>
      </c>
      <c r="E3">
        <f>77.5-21.79</f>
        <v>55.71</v>
      </c>
      <c r="F3">
        <v>1862</v>
      </c>
      <c r="G3">
        <v>40.299999999999997</v>
      </c>
      <c r="H3">
        <f>77.3-21.71</f>
        <v>55.589999999999996</v>
      </c>
      <c r="I3">
        <v>1753</v>
      </c>
      <c r="J3">
        <v>40.200000000000003</v>
      </c>
      <c r="K3">
        <f>77.5-21.83</f>
        <v>55.67</v>
      </c>
      <c r="L3">
        <v>1717</v>
      </c>
      <c r="M3">
        <v>40</v>
      </c>
      <c r="N3">
        <f>78-21.87</f>
        <v>56.129999999999995</v>
      </c>
      <c r="O3">
        <v>1798</v>
      </c>
      <c r="P3">
        <v>40</v>
      </c>
      <c r="Q3">
        <f>78.1-22</f>
        <v>56.099999999999994</v>
      </c>
      <c r="R3">
        <v>1600</v>
      </c>
      <c r="S3">
        <v>40</v>
      </c>
      <c r="T3">
        <f>78.1-21.97</f>
        <v>56.129999999999995</v>
      </c>
      <c r="U3">
        <v>1582</v>
      </c>
      <c r="V3">
        <v>40</v>
      </c>
      <c r="W3">
        <f>78.2-21.81</f>
        <v>56.39</v>
      </c>
      <c r="X3">
        <v>1929</v>
      </c>
      <c r="Y3">
        <v>40.299999999999997</v>
      </c>
      <c r="Z3">
        <f>78.3-21.9</f>
        <v>56.4</v>
      </c>
      <c r="AA3">
        <v>1396</v>
      </c>
      <c r="AB3">
        <v>40.4</v>
      </c>
      <c r="AC3">
        <f>78-22</f>
        <v>56</v>
      </c>
      <c r="AD3">
        <v>1578</v>
      </c>
      <c r="AE3">
        <v>39.9</v>
      </c>
      <c r="AF3">
        <f>78.5-21.97</f>
        <v>56.53</v>
      </c>
      <c r="AG3">
        <v>1841</v>
      </c>
      <c r="AH3">
        <v>40.299999999999997</v>
      </c>
      <c r="AI3">
        <f>79-22</f>
        <v>57</v>
      </c>
      <c r="AJ3">
        <v>1759</v>
      </c>
      <c r="AK3">
        <v>40</v>
      </c>
      <c r="AL3">
        <f>78-21.94</f>
        <v>56.06</v>
      </c>
      <c r="AM3">
        <v>1809</v>
      </c>
    </row>
  </sheetData>
  <mergeCells count="14">
    <mergeCell ref="AK1:AM1"/>
    <mergeCell ref="AN1:AP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2015-06-05T18:17:20Z</dcterms:created>
  <dcterms:modified xsi:type="dcterms:W3CDTF">2026-02-11T12:47:05Z</dcterms:modified>
</cp:coreProperties>
</file>