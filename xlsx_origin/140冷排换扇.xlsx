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_\Syncthing\"/>
    </mc:Choice>
  </mc:AlternateContent>
  <xr:revisionPtr revIDLastSave="0" documentId="13_ncr:1_{25A278D6-BAF7-4A69-9320-894516316854}" xr6:coauthVersionLast="47" xr6:coauthVersionMax="47" xr10:uidLastSave="{00000000-0000-0000-0000-000000000000}"/>
  <bookViews>
    <workbookView xWindow="7545" yWindow="6690" windowWidth="21600" windowHeight="11625" xr2:uid="{1AE1343D-633F-4BFB-85BD-E1B963419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2" i="1"/>
  <c r="T3" i="1"/>
  <c r="T2" i="1"/>
  <c r="Q3" i="1"/>
  <c r="Q2" i="1"/>
  <c r="N2" i="1"/>
  <c r="N3" i="1"/>
  <c r="K3" i="1"/>
  <c r="K2" i="1"/>
  <c r="H3" i="1"/>
  <c r="H2" i="1"/>
  <c r="B3" i="1"/>
  <c r="B2" i="1"/>
  <c r="E3" i="1"/>
  <c r="E2" i="1"/>
</calcChain>
</file>

<file path=xl/sharedStrings.xml><?xml version="1.0" encoding="utf-8"?>
<sst xmlns="http://schemas.openxmlformats.org/spreadsheetml/2006/main" count="8" uniqueCount="8">
  <si>
    <t>SWP4</t>
    <phoneticPr fontId="1" type="noConversion"/>
  </si>
  <si>
    <t>风尊T30-14</t>
    <phoneticPr fontId="1" type="noConversion"/>
  </si>
  <si>
    <t>钢影14Pro</t>
    <phoneticPr fontId="1" type="noConversion"/>
  </si>
  <si>
    <t>LP14E</t>
    <phoneticPr fontId="1" type="noConversion"/>
  </si>
  <si>
    <t>T30-140</t>
    <phoneticPr fontId="1" type="noConversion"/>
  </si>
  <si>
    <t>MACH140</t>
    <phoneticPr fontId="1" type="noConversion"/>
  </si>
  <si>
    <t>P14Pro</t>
    <phoneticPr fontId="1" type="noConversion"/>
  </si>
  <si>
    <t>A14x25G2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</si>
</sst>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FE3B-A5EB-40AE-8A03-08695EEAA39D}">
  <dimension ref="A1:X3"/>
  <sheetViews>
    <sheetView tabSelected="1" topLeftCell="F1" workbookViewId="0">
      <selection activeCell="V7" sqref="V7"/>
    </sheetView>
  </sheetViews>
  <sheetFormatPr defaultRowHeight="14.25" x14ac:dyDescent="0.2"/>
  <sheetData>
    <row r="1" spans="1:24" x14ac:dyDescent="0.2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</row>
    <row r="2" spans="1:24" x14ac:dyDescent="0.2">
      <c r="A2">
        <v>44</v>
      </c>
      <c r="B2">
        <f>74.4-21.13</f>
        <v>53.27000000000001</v>
      </c>
      <c r="C2">
        <v>2250</v>
      </c>
      <c r="D2">
        <v>42.9</v>
      </c>
      <c r="E2">
        <f>74.2-20.9</f>
        <v>53.300000000000004</v>
      </c>
      <c r="F2">
        <v>1932</v>
      </c>
      <c r="G2">
        <v>43.5</v>
      </c>
      <c r="H2">
        <f>74-21.31</f>
        <v>52.69</v>
      </c>
      <c r="I2">
        <v>1877</v>
      </c>
      <c r="J2">
        <v>48.5</v>
      </c>
      <c r="K2">
        <f>72-21.46</f>
        <v>50.54</v>
      </c>
      <c r="L2">
        <v>2683</v>
      </c>
      <c r="M2">
        <v>50.7</v>
      </c>
      <c r="N2">
        <f>72.5-21.58</f>
        <v>50.92</v>
      </c>
      <c r="O2">
        <v>2493</v>
      </c>
      <c r="P2">
        <v>48</v>
      </c>
      <c r="Q2">
        <f>73.15-21.56</f>
        <v>51.59</v>
      </c>
      <c r="R2">
        <v>2200</v>
      </c>
      <c r="S2">
        <v>47.8</v>
      </c>
      <c r="T2">
        <f>73.3-21.57</f>
        <v>51.73</v>
      </c>
      <c r="U2">
        <v>2407</v>
      </c>
      <c r="V2">
        <v>40.200000000000003</v>
      </c>
      <c r="W2">
        <f>75.5-21.62</f>
        <v>53.879999999999995</v>
      </c>
      <c r="X2">
        <v>1501</v>
      </c>
    </row>
    <row r="3" spans="1:24" x14ac:dyDescent="0.2">
      <c r="A3">
        <v>38</v>
      </c>
      <c r="B3">
        <f>77-21.22</f>
        <v>55.78</v>
      </c>
      <c r="C3">
        <v>1676</v>
      </c>
      <c r="D3">
        <v>38</v>
      </c>
      <c r="E3">
        <f>76.6-21</f>
        <v>55.599999999999994</v>
      </c>
      <c r="F3">
        <v>1493</v>
      </c>
      <c r="G3">
        <v>38</v>
      </c>
      <c r="H3">
        <f>76.5-21.26</f>
        <v>55.239999999999995</v>
      </c>
      <c r="I3">
        <v>1385</v>
      </c>
      <c r="J3">
        <v>38</v>
      </c>
      <c r="K3">
        <f>74.8-21.42</f>
        <v>53.379999999999995</v>
      </c>
      <c r="L3">
        <v>1647</v>
      </c>
      <c r="M3">
        <v>38</v>
      </c>
      <c r="N3">
        <f>75.8-21.52</f>
        <v>54.28</v>
      </c>
      <c r="O3">
        <v>1428</v>
      </c>
      <c r="P3">
        <v>38.1</v>
      </c>
      <c r="Q3">
        <f>76.9-21.57</f>
        <v>55.330000000000005</v>
      </c>
      <c r="R3">
        <v>1383</v>
      </c>
      <c r="S3">
        <v>38</v>
      </c>
      <c r="T3">
        <f>76.6-21.59</f>
        <v>55.009999999999991</v>
      </c>
      <c r="U3">
        <v>1464</v>
      </c>
      <c r="V3">
        <v>38</v>
      </c>
      <c r="W3">
        <f>76.9-21.63</f>
        <v>55.27000000000001</v>
      </c>
      <c r="X3">
        <v>1307</v>
      </c>
    </row>
  </sheetData>
  <mergeCells count="8">
    <mergeCell ref="S1:U1"/>
    <mergeCell ref="V1:X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2026-01-19T14:34:19Z</dcterms:created>
  <dcterms:modified xsi:type="dcterms:W3CDTF">2026-01-19T19:44:24Z</dcterms:modified>
</cp:coreProperties>
</file>