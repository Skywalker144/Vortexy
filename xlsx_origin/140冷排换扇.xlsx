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/>
  <mc:AlternateContent xmlns:mc="http://schemas.openxmlformats.org/markup-compatibility/2006">
    <mc:Choice Requires="x15">
      <x15ac:absPath xmlns:x15ac="http://schemas.microsoft.com/office/spreadsheetml/2010/11/ac" url="/Users/skycheng/Desktop/FanWebsite/xlsx_origin/"/>
    </mc:Choice>
  </mc:AlternateContent>
  <xr:revisionPtr revIDLastSave="0" documentId="13_ncr:1_{00B68CD5-0F83-854F-8E18-17E48E91A025}" xr6:coauthVersionLast="47" xr6:coauthVersionMax="47" xr10:uidLastSave="{00000000-0000-0000-0000-000000000000}"/>
  <bookViews>
    <workbookView xWindow="0" yWindow="580" windowWidth="28800" windowHeight="18060" xr2:uid="{1AE1343D-633F-4BFB-85BD-E1B963419C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1" l="1"/>
  <c r="AF2" i="1"/>
  <c r="AC4" i="1"/>
  <c r="AC3" i="1"/>
  <c r="AC2" i="1"/>
  <c r="Z2" i="1"/>
  <c r="W4" i="1"/>
  <c r="W3" i="1"/>
  <c r="W2" i="1"/>
  <c r="T3" i="1"/>
  <c r="T2" i="1"/>
  <c r="Q3" i="1"/>
  <c r="Q2" i="1"/>
  <c r="N3" i="1"/>
  <c r="N2" i="1"/>
  <c r="K2" i="1"/>
  <c r="K3" i="1"/>
  <c r="H3" i="1"/>
  <c r="H2" i="1"/>
  <c r="B3" i="1"/>
  <c r="B2" i="1"/>
  <c r="E3" i="1"/>
  <c r="E2" i="1"/>
</calcChain>
</file>

<file path=xl/sharedStrings.xml><?xml version="1.0" encoding="utf-8"?>
<sst xmlns="http://schemas.openxmlformats.org/spreadsheetml/2006/main" count="11" uniqueCount="11">
  <si>
    <t>SWP4</t>
    <phoneticPr fontId="1" type="noConversion"/>
  </si>
  <si>
    <t>风尊T30-14</t>
    <phoneticPr fontId="1" type="noConversion"/>
  </si>
  <si>
    <t>钢影14Pro</t>
    <phoneticPr fontId="1" type="noConversion"/>
  </si>
  <si>
    <t>LP14E</t>
    <phoneticPr fontId="1" type="noConversion"/>
  </si>
  <si>
    <t>T30-140</t>
    <phoneticPr fontId="1" type="noConversion"/>
  </si>
  <si>
    <t>MACH140</t>
    <phoneticPr fontId="1" type="noConversion"/>
  </si>
  <si>
    <t>P14Pro</t>
    <phoneticPr fontId="1" type="noConversion"/>
  </si>
  <si>
    <t>A14x25G2</t>
    <phoneticPr fontId="1" type="noConversion"/>
  </si>
  <si>
    <t>H14PE</t>
    <phoneticPr fontId="1" type="noConversion"/>
  </si>
  <si>
    <t>9LG1412M5001</t>
    <phoneticPr fontId="1" type="noConversion"/>
  </si>
  <si>
    <t>9RA14038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</si>
</sst>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4FE3B-A5EB-40AE-8A03-08695EEAA39D}">
  <dimension ref="A1:AG4"/>
  <sheetViews>
    <sheetView tabSelected="1" topLeftCell="S1" workbookViewId="0">
      <selection activeCell="AF4" sqref="AF4"/>
    </sheetView>
  </sheetViews>
  <sheetFormatPr baseColWidth="10" defaultColWidth="8.83203125" defaultRowHeight="15"/>
  <sheetData>
    <row r="1" spans="1:33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4</v>
      </c>
      <c r="K1" s="1"/>
      <c r="L1" s="1"/>
      <c r="M1" s="1" t="s">
        <v>5</v>
      </c>
      <c r="N1" s="1"/>
      <c r="O1" s="1"/>
      <c r="P1" s="1" t="s">
        <v>6</v>
      </c>
      <c r="Q1" s="1"/>
      <c r="R1" s="1"/>
      <c r="S1" s="1" t="s">
        <v>7</v>
      </c>
      <c r="T1" s="1"/>
      <c r="U1" s="1"/>
      <c r="V1" s="1" t="s">
        <v>8</v>
      </c>
      <c r="W1" s="1"/>
      <c r="X1" s="1"/>
      <c r="Y1" s="1" t="s">
        <v>9</v>
      </c>
      <c r="Z1" s="1"/>
      <c r="AA1" s="1"/>
      <c r="AB1" s="1" t="s">
        <v>10</v>
      </c>
      <c r="AC1" s="1"/>
      <c r="AD1" s="1"/>
      <c r="AE1" s="1" t="s">
        <v>3</v>
      </c>
      <c r="AF1" s="1"/>
      <c r="AG1" s="1"/>
    </row>
    <row r="2" spans="1:33">
      <c r="A2">
        <v>44</v>
      </c>
      <c r="B2">
        <f>74.4-21.13</f>
        <v>53.27000000000001</v>
      </c>
      <c r="C2">
        <v>2250</v>
      </c>
      <c r="D2">
        <v>42.9</v>
      </c>
      <c r="E2">
        <f>74.2-20.9</f>
        <v>53.300000000000004</v>
      </c>
      <c r="F2">
        <v>1932</v>
      </c>
      <c r="G2">
        <v>43.5</v>
      </c>
      <c r="H2">
        <f>74-21.31</f>
        <v>52.69</v>
      </c>
      <c r="I2">
        <v>1877</v>
      </c>
      <c r="J2">
        <v>50.7</v>
      </c>
      <c r="K2">
        <f>72.5-21.58</f>
        <v>50.92</v>
      </c>
      <c r="L2">
        <v>2493</v>
      </c>
      <c r="M2">
        <v>48</v>
      </c>
      <c r="N2">
        <f>73.15-21.56</f>
        <v>51.59</v>
      </c>
      <c r="O2">
        <v>2200</v>
      </c>
      <c r="P2">
        <v>47.8</v>
      </c>
      <c r="Q2">
        <f>73.3-21.57</f>
        <v>51.73</v>
      </c>
      <c r="R2">
        <v>2407</v>
      </c>
      <c r="S2">
        <v>40.200000000000003</v>
      </c>
      <c r="T2">
        <f>75.5-21.62</f>
        <v>53.879999999999995</v>
      </c>
      <c r="U2">
        <v>1501</v>
      </c>
      <c r="V2">
        <v>58.6</v>
      </c>
      <c r="W2">
        <f>70.3-18.94</f>
        <v>51.36</v>
      </c>
      <c r="X2">
        <v>3000</v>
      </c>
      <c r="Y2">
        <v>50.6</v>
      </c>
      <c r="Z2">
        <f>70.1-19.41</f>
        <v>50.69</v>
      </c>
      <c r="AA2">
        <v>2577</v>
      </c>
      <c r="AB2">
        <v>57.6</v>
      </c>
      <c r="AC2">
        <f>69.1-19.94</f>
        <v>49.16</v>
      </c>
      <c r="AD2">
        <v>3731</v>
      </c>
      <c r="AE2">
        <v>48.5</v>
      </c>
      <c r="AF2">
        <f>72-21.46-0.3</f>
        <v>50.24</v>
      </c>
      <c r="AG2">
        <v>2683</v>
      </c>
    </row>
    <row r="3" spans="1:33">
      <c r="A3">
        <v>38</v>
      </c>
      <c r="B3">
        <f>77-21.22</f>
        <v>55.78</v>
      </c>
      <c r="C3">
        <v>1676</v>
      </c>
      <c r="D3">
        <v>38</v>
      </c>
      <c r="E3">
        <f>76.6-21</f>
        <v>55.599999999999994</v>
      </c>
      <c r="F3">
        <v>1493</v>
      </c>
      <c r="G3">
        <v>38</v>
      </c>
      <c r="H3">
        <f>76.5-21.26</f>
        <v>55.239999999999995</v>
      </c>
      <c r="I3">
        <v>1385</v>
      </c>
      <c r="J3">
        <v>38</v>
      </c>
      <c r="K3">
        <f>75.8-21.52</f>
        <v>54.28</v>
      </c>
      <c r="L3">
        <v>1428</v>
      </c>
      <c r="M3">
        <v>38.1</v>
      </c>
      <c r="N3">
        <f>76.9-21.57</f>
        <v>55.330000000000005</v>
      </c>
      <c r="O3">
        <v>1383</v>
      </c>
      <c r="P3">
        <v>38</v>
      </c>
      <c r="Q3">
        <f>76.6-21.59</f>
        <v>55.009999999999991</v>
      </c>
      <c r="R3">
        <v>1464</v>
      </c>
      <c r="S3">
        <v>38</v>
      </c>
      <c r="T3">
        <f>76.9-21.63</f>
        <v>55.27000000000001</v>
      </c>
      <c r="U3">
        <v>1307</v>
      </c>
      <c r="V3">
        <v>45</v>
      </c>
      <c r="W3">
        <f>73.2-19</f>
        <v>54.2</v>
      </c>
      <c r="X3">
        <v>1835</v>
      </c>
      <c r="AB3">
        <v>45.1</v>
      </c>
      <c r="AC3">
        <f>70.8-19.85</f>
        <v>50.949999999999996</v>
      </c>
      <c r="AD3">
        <v>2279</v>
      </c>
      <c r="AE3">
        <v>38</v>
      </c>
      <c r="AF3">
        <f>74.8-21.42-0.3</f>
        <v>53.08</v>
      </c>
      <c r="AG3">
        <v>1647</v>
      </c>
    </row>
    <row r="4" spans="1:33">
      <c r="V4">
        <v>38</v>
      </c>
      <c r="W4">
        <f>76-19.07</f>
        <v>56.93</v>
      </c>
      <c r="X4">
        <v>1377</v>
      </c>
      <c r="AB4">
        <v>38</v>
      </c>
      <c r="AC4">
        <f>72.6-19.77</f>
        <v>52.83</v>
      </c>
      <c r="AD4">
        <v>1650</v>
      </c>
    </row>
  </sheetData>
  <mergeCells count="11">
    <mergeCell ref="M1:O1"/>
    <mergeCell ref="A1:C1"/>
    <mergeCell ref="D1:F1"/>
    <mergeCell ref="G1:I1"/>
    <mergeCell ref="AE1:AG1"/>
    <mergeCell ref="J1:L1"/>
    <mergeCell ref="V1:X1"/>
    <mergeCell ref="Y1:AA1"/>
    <mergeCell ref="AB1:AD1"/>
    <mergeCell ref="P1:R1"/>
    <mergeCell ref="S1:U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</dc:creator>
  <cp:lastModifiedBy>Sky Cheng</cp:lastModifiedBy>
  <dcterms:created xsi:type="dcterms:W3CDTF">2026-01-19T14:34:19Z</dcterms:created>
  <dcterms:modified xsi:type="dcterms:W3CDTF">2026-02-07T11:22:10Z</dcterms:modified>
</cp:coreProperties>
</file>