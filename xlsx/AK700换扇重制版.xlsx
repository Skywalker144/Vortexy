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0198DD97-6E67-314B-B945-5323E745AA73}" xr6:coauthVersionLast="47" xr6:coauthVersionMax="47" xr10:uidLastSave="{00000000-0000-0000-0000-000000000000}"/>
  <bookViews>
    <workbookView xWindow="0" yWindow="600" windowWidth="28800" windowHeight="1804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" i="1" l="1"/>
  <c r="BJ2" i="1"/>
  <c r="BG2" i="1"/>
  <c r="BG3" i="1"/>
  <c r="BD3" i="1"/>
  <c r="BD2" i="1"/>
  <c r="BA3" i="1"/>
  <c r="BA2" i="1"/>
  <c r="AX4" i="1"/>
  <c r="AX3" i="1"/>
  <c r="AX2" i="1"/>
  <c r="AU4" i="1"/>
  <c r="AU3" i="1"/>
  <c r="AU2" i="1"/>
  <c r="AR4" i="1"/>
  <c r="AR3" i="1"/>
  <c r="AR2" i="1"/>
  <c r="AO3" i="1"/>
  <c r="AO2" i="1"/>
  <c r="AL3" i="1"/>
  <c r="AL2" i="1"/>
  <c r="AI4" i="1"/>
  <c r="AI3" i="1"/>
  <c r="AI2" i="1"/>
  <c r="AF3" i="1"/>
  <c r="AF2" i="1"/>
  <c r="AC3" i="1"/>
  <c r="AC2" i="1"/>
  <c r="Z3" i="1"/>
  <c r="Z2" i="1"/>
  <c r="W3" i="1"/>
  <c r="W2" i="1"/>
  <c r="T3" i="1"/>
  <c r="T2" i="1"/>
  <c r="Q3" i="1"/>
  <c r="Q2" i="1"/>
  <c r="N4" i="1"/>
  <c r="N3" i="1"/>
  <c r="N2" i="1"/>
  <c r="K3" i="1"/>
  <c r="K2" i="1"/>
  <c r="H3" i="1"/>
  <c r="H2" i="1"/>
  <c r="E3" i="1"/>
  <c r="E2" i="1"/>
  <c r="B3" i="1"/>
  <c r="B2" i="1"/>
</calcChain>
</file>

<file path=xl/sharedStrings.xml><?xml version="1.0" encoding="utf-8"?>
<sst xmlns="http://schemas.openxmlformats.org/spreadsheetml/2006/main" count="21" uniqueCount="21">
  <si>
    <t>莫比乌斯</t>
    <phoneticPr fontId="1" type="noConversion"/>
  </si>
  <si>
    <t>A12x25G2</t>
    <phoneticPr fontId="1" type="noConversion"/>
  </si>
  <si>
    <t>FK12 V2</t>
    <phoneticPr fontId="1" type="noConversion"/>
  </si>
  <si>
    <t>GD3000</t>
    <phoneticPr fontId="1" type="noConversion"/>
  </si>
  <si>
    <t>PF120</t>
    <phoneticPr fontId="1" type="noConversion"/>
  </si>
  <si>
    <t>钢影12Pro</t>
    <phoneticPr fontId="1" type="noConversion"/>
  </si>
  <si>
    <t>FD12 V2</t>
    <phoneticPr fontId="1" type="noConversion"/>
  </si>
  <si>
    <t>P2Pro</t>
    <phoneticPr fontId="1" type="noConversion"/>
  </si>
  <si>
    <t>鸿华12025</t>
    <phoneticPr fontId="1" type="noConversion"/>
  </si>
  <si>
    <t>AT120K</t>
    <phoneticPr fontId="1" type="noConversion"/>
  </si>
  <si>
    <t>A120</t>
    <phoneticPr fontId="1" type="noConversion"/>
  </si>
  <si>
    <t>9RA12025</t>
    <phoneticPr fontId="1" type="noConversion"/>
  </si>
  <si>
    <t>GT3000</t>
    <phoneticPr fontId="1" type="noConversion"/>
  </si>
  <si>
    <t>广镰GT3000</t>
    <phoneticPr fontId="1" type="noConversion"/>
  </si>
  <si>
    <t>F9 R120</t>
    <phoneticPr fontId="1" type="noConversion"/>
  </si>
  <si>
    <t>T30</t>
    <phoneticPr fontId="1" type="noConversion"/>
  </si>
  <si>
    <t>MACH120</t>
    <phoneticPr fontId="1" type="noConversion"/>
  </si>
  <si>
    <t>P28</t>
    <phoneticPr fontId="1" type="noConversion"/>
  </si>
  <si>
    <t>LP12E</t>
    <phoneticPr fontId="1" type="noConversion"/>
  </si>
  <si>
    <t>P12E</t>
    <phoneticPr fontId="1" type="noConversion"/>
  </si>
  <si>
    <t>风尊T30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</si>
</sst>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BK4"/>
  <sheetViews>
    <sheetView tabSelected="1" topLeftCell="AX1" workbookViewId="0">
      <selection activeCell="BJ4" sqref="BJ4"/>
    </sheetView>
  </sheetViews>
  <sheetFormatPr baseColWidth="10" defaultRowHeight="16"/>
  <sheetData>
    <row r="1" spans="1:63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  <c r="AT1" s="1" t="s">
        <v>15</v>
      </c>
      <c r="AU1" s="1"/>
      <c r="AV1" s="1"/>
      <c r="AW1" s="1" t="s">
        <v>16</v>
      </c>
      <c r="AX1" s="1"/>
      <c r="AY1" s="1"/>
      <c r="AZ1" s="1" t="s">
        <v>18</v>
      </c>
      <c r="BA1" s="1"/>
      <c r="BB1" s="1"/>
      <c r="BC1" s="1" t="s">
        <v>19</v>
      </c>
      <c r="BD1" s="1"/>
      <c r="BE1" s="1"/>
      <c r="BF1" s="1" t="s">
        <v>20</v>
      </c>
      <c r="BG1" s="1"/>
      <c r="BH1" s="1"/>
      <c r="BI1" s="1" t="s">
        <v>17</v>
      </c>
      <c r="BJ1" s="1"/>
      <c r="BK1" s="1"/>
    </row>
    <row r="2" spans="1:63">
      <c r="A2">
        <v>44.3</v>
      </c>
      <c r="B2">
        <f>76.9-22</f>
        <v>54.900000000000006</v>
      </c>
      <c r="C2">
        <v>2370</v>
      </c>
      <c r="D2">
        <v>41</v>
      </c>
      <c r="E2">
        <f>77.8-22.2</f>
        <v>55.599999999999994</v>
      </c>
      <c r="F2">
        <v>1819</v>
      </c>
      <c r="G2">
        <v>46.5</v>
      </c>
      <c r="H2">
        <f>76.3-22.3</f>
        <v>54</v>
      </c>
      <c r="I2">
        <v>2708</v>
      </c>
      <c r="J2">
        <v>51.5</v>
      </c>
      <c r="K2">
        <f>75.4-22.3</f>
        <v>53.100000000000009</v>
      </c>
      <c r="L2">
        <v>2850</v>
      </c>
      <c r="M2">
        <v>55</v>
      </c>
      <c r="N2">
        <f>75.2-22.4</f>
        <v>52.800000000000004</v>
      </c>
      <c r="O2">
        <v>3145</v>
      </c>
      <c r="P2">
        <v>43.3</v>
      </c>
      <c r="Q2">
        <f>77.3-22.4</f>
        <v>54.9</v>
      </c>
      <c r="R2">
        <v>2020</v>
      </c>
      <c r="S2">
        <v>45.6</v>
      </c>
      <c r="T2">
        <f>76.6-22.4</f>
        <v>54.199999999999996</v>
      </c>
      <c r="U2">
        <v>2500</v>
      </c>
      <c r="V2">
        <v>49.1</v>
      </c>
      <c r="W2">
        <f>76.2-22.3</f>
        <v>53.900000000000006</v>
      </c>
      <c r="X2">
        <v>2608</v>
      </c>
      <c r="Y2">
        <v>45.3</v>
      </c>
      <c r="Z2">
        <f>76.8-22.4</f>
        <v>54.4</v>
      </c>
      <c r="AA2">
        <v>2290</v>
      </c>
      <c r="AB2">
        <v>52.3</v>
      </c>
      <c r="AC2">
        <f>76.3-22.4</f>
        <v>53.9</v>
      </c>
      <c r="AD2">
        <v>3045</v>
      </c>
      <c r="AE2">
        <v>47.2</v>
      </c>
      <c r="AF2">
        <f>76.4-22.3</f>
        <v>54.100000000000009</v>
      </c>
      <c r="AG2">
        <v>2553</v>
      </c>
      <c r="AH2">
        <v>57.2</v>
      </c>
      <c r="AI2">
        <f>76-23.6</f>
        <v>52.4</v>
      </c>
      <c r="AJ2">
        <v>4040</v>
      </c>
      <c r="AK2">
        <v>51.2</v>
      </c>
      <c r="AL2">
        <f>77.3-23.5</f>
        <v>53.8</v>
      </c>
      <c r="AM2">
        <v>3002</v>
      </c>
      <c r="AN2">
        <v>51.7</v>
      </c>
      <c r="AO2">
        <f>77.4-23.5</f>
        <v>53.900000000000006</v>
      </c>
      <c r="AP2">
        <v>3011</v>
      </c>
      <c r="AQ2">
        <v>58</v>
      </c>
      <c r="AR2">
        <f>76.2-23.5</f>
        <v>52.7</v>
      </c>
      <c r="AS2">
        <v>3000</v>
      </c>
      <c r="AT2">
        <v>54.2</v>
      </c>
      <c r="AU2">
        <f>76.4-23.5</f>
        <v>52.900000000000006</v>
      </c>
      <c r="AV2">
        <v>3030</v>
      </c>
      <c r="AW2">
        <v>54.5</v>
      </c>
      <c r="AX2">
        <f>76.5-23.5</f>
        <v>53</v>
      </c>
      <c r="AY2">
        <v>3053</v>
      </c>
      <c r="AZ2">
        <v>55.2</v>
      </c>
      <c r="BA2">
        <f>76.5-23.4</f>
        <v>53.1</v>
      </c>
      <c r="BB2">
        <v>3015</v>
      </c>
      <c r="BC2">
        <v>52.4</v>
      </c>
      <c r="BD2">
        <f>76.9-23.4</f>
        <v>53.500000000000007</v>
      </c>
      <c r="BE2">
        <v>2800</v>
      </c>
      <c r="BF2">
        <v>49.6</v>
      </c>
      <c r="BG2">
        <f>77.5-23.3</f>
        <v>54.2</v>
      </c>
      <c r="BH2">
        <v>2516</v>
      </c>
      <c r="BI2">
        <v>49</v>
      </c>
      <c r="BJ2">
        <f>77.1-22.9</f>
        <v>54.199999999999996</v>
      </c>
      <c r="BK2">
        <v>2589</v>
      </c>
    </row>
    <row r="3" spans="1:63">
      <c r="A3">
        <v>40</v>
      </c>
      <c r="B3">
        <f>78.2-22.1</f>
        <v>56.1</v>
      </c>
      <c r="C3">
        <v>1967</v>
      </c>
      <c r="D3">
        <v>40</v>
      </c>
      <c r="E3">
        <f>78.1-22.2</f>
        <v>55.899999999999991</v>
      </c>
      <c r="F3">
        <v>1732</v>
      </c>
      <c r="G3">
        <v>40</v>
      </c>
      <c r="H3">
        <f>78-22.3</f>
        <v>55.7</v>
      </c>
      <c r="I3">
        <v>2070</v>
      </c>
      <c r="J3">
        <v>40</v>
      </c>
      <c r="K3">
        <f>78.6-22.4</f>
        <v>56.199999999999996</v>
      </c>
      <c r="L3">
        <v>1780</v>
      </c>
      <c r="M3">
        <v>50.1</v>
      </c>
      <c r="N3">
        <f>76.2-22.4</f>
        <v>53.800000000000004</v>
      </c>
      <c r="O3">
        <v>2611</v>
      </c>
      <c r="P3">
        <v>40</v>
      </c>
      <c r="Q3">
        <f>78.4-22.4</f>
        <v>56.000000000000007</v>
      </c>
      <c r="R3">
        <v>1736</v>
      </c>
      <c r="S3">
        <v>40</v>
      </c>
      <c r="T3">
        <f>78.2-22.4</f>
        <v>55.800000000000004</v>
      </c>
      <c r="U3">
        <v>1970</v>
      </c>
      <c r="V3">
        <v>40</v>
      </c>
      <c r="W3">
        <f>78.5-22.3</f>
        <v>56.2</v>
      </c>
      <c r="X3">
        <v>1837</v>
      </c>
      <c r="Y3">
        <v>40</v>
      </c>
      <c r="Z3">
        <f>78.2-22.4</f>
        <v>55.800000000000004</v>
      </c>
      <c r="AA3">
        <v>1840</v>
      </c>
      <c r="AB3">
        <v>40</v>
      </c>
      <c r="AC3">
        <f>79.7-22.4</f>
        <v>57.300000000000004</v>
      </c>
      <c r="AD3">
        <v>1810</v>
      </c>
      <c r="AE3">
        <v>40</v>
      </c>
      <c r="AF3">
        <f>78.4-22.3</f>
        <v>56.100000000000009</v>
      </c>
      <c r="AG3">
        <v>1840</v>
      </c>
      <c r="AH3">
        <v>50</v>
      </c>
      <c r="AI3">
        <f>77.1-23.6</f>
        <v>53.499999999999993</v>
      </c>
      <c r="AJ3">
        <v>3037</v>
      </c>
      <c r="AK3">
        <v>40.9</v>
      </c>
      <c r="AL3">
        <f>81-23.5</f>
        <v>57.5</v>
      </c>
      <c r="AM3">
        <v>1775</v>
      </c>
      <c r="AN3">
        <v>40</v>
      </c>
      <c r="AO3">
        <f>80.7-23.5</f>
        <v>57.2</v>
      </c>
      <c r="AP3">
        <v>1810</v>
      </c>
      <c r="AQ3">
        <v>50</v>
      </c>
      <c r="AR3">
        <f>77.8-23.5</f>
        <v>54.3</v>
      </c>
      <c r="AS3">
        <v>2245</v>
      </c>
      <c r="AT3">
        <v>50</v>
      </c>
      <c r="AU3">
        <f>77.2-23.5</f>
        <v>53.7</v>
      </c>
      <c r="AV3">
        <v>2583</v>
      </c>
      <c r="AW3">
        <v>49.9</v>
      </c>
      <c r="AX3">
        <f>77.5-23.4</f>
        <v>54.1</v>
      </c>
      <c r="AY3">
        <v>2542</v>
      </c>
      <c r="AZ3">
        <v>40.299999999999997</v>
      </c>
      <c r="BA3">
        <f>80.5-23.4</f>
        <v>57.1</v>
      </c>
      <c r="BB3">
        <v>1697</v>
      </c>
      <c r="BC3">
        <v>40.299999999999997</v>
      </c>
      <c r="BD3">
        <f>80.1-23.4</f>
        <v>56.699999999999996</v>
      </c>
      <c r="BE3">
        <v>1729</v>
      </c>
      <c r="BF3">
        <v>40.1</v>
      </c>
      <c r="BG3">
        <f>80.2-23.4</f>
        <v>56.800000000000004</v>
      </c>
      <c r="BH3">
        <v>1721</v>
      </c>
      <c r="BI3">
        <v>40</v>
      </c>
      <c r="BJ3">
        <f>79.6-22.9</f>
        <v>56.699999999999996</v>
      </c>
      <c r="BK3">
        <v>1812</v>
      </c>
    </row>
    <row r="4" spans="1:63">
      <c r="M4">
        <v>40</v>
      </c>
      <c r="N4">
        <f>78.8-22.4</f>
        <v>56.4</v>
      </c>
      <c r="O4">
        <v>1762</v>
      </c>
      <c r="AH4">
        <v>40</v>
      </c>
      <c r="AI4">
        <f>79.9-23.5</f>
        <v>56.400000000000006</v>
      </c>
      <c r="AJ4">
        <v>2040</v>
      </c>
      <c r="AQ4">
        <v>39.9</v>
      </c>
      <c r="AR4">
        <f>81-23.5</f>
        <v>57.5</v>
      </c>
      <c r="AS4">
        <v>1459</v>
      </c>
      <c r="AT4">
        <v>40.1</v>
      </c>
      <c r="AU4">
        <f>80.3-23.5</f>
        <v>56.8</v>
      </c>
      <c r="AV4">
        <v>1711</v>
      </c>
      <c r="AW4">
        <v>40.299999999999997</v>
      </c>
      <c r="AX4">
        <f>80.2-23.4</f>
        <v>56.800000000000004</v>
      </c>
      <c r="AY4">
        <v>1730</v>
      </c>
    </row>
  </sheetData>
  <mergeCells count="21">
    <mergeCell ref="BI1:BK1"/>
    <mergeCell ref="AT1:AV1"/>
    <mergeCell ref="AW1:AY1"/>
    <mergeCell ref="AZ1:BB1"/>
    <mergeCell ref="BC1:BE1"/>
    <mergeCell ref="BF1:BH1"/>
    <mergeCell ref="AE1:AG1"/>
    <mergeCell ref="AH1:AJ1"/>
    <mergeCell ref="AK1:AM1"/>
    <mergeCell ref="AN1:AP1"/>
    <mergeCell ref="AQ1:AS1"/>
    <mergeCell ref="P1:R1"/>
    <mergeCell ref="S1:U1"/>
    <mergeCell ref="V1:X1"/>
    <mergeCell ref="Y1:AA1"/>
    <mergeCell ref="AB1:AD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2026-01-16T13:19:56Z</dcterms:modified>
</cp:coreProperties>
</file>