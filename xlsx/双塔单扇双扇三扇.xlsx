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065BB807-3934-CB40-817A-7C581797DD40}" xr6:coauthVersionLast="47" xr6:coauthVersionMax="47" xr10:uidLastSave="{00000000-0000-0000-0000-000000000000}"/>
  <bookViews>
    <workbookView xWindow="0" yWindow="600" windowWidth="28800" windowHeight="1804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E5" i="1"/>
  <c r="E4" i="1"/>
  <c r="E3" i="1"/>
  <c r="E2" i="1"/>
  <c r="B5" i="1"/>
  <c r="B4" i="1"/>
  <c r="B3" i="1"/>
  <c r="B2" i="1"/>
</calcChain>
</file>

<file path=xl/sharedStrings.xml><?xml version="1.0" encoding="utf-8"?>
<sst xmlns="http://schemas.openxmlformats.org/spreadsheetml/2006/main" count="9" uniqueCount="9">
  <si>
    <t>P60T Ultra单莫比乌斯</t>
    <phoneticPr fontId="1" type="noConversion"/>
  </si>
  <si>
    <t>P60T Ultra双莫比乌斯</t>
    <phoneticPr fontId="1" type="noConversion"/>
  </si>
  <si>
    <t>P60T Ultra三莫比乌斯</t>
    <phoneticPr fontId="1" type="noConversion"/>
  </si>
  <si>
    <t>AK620G2单莫比乌斯</t>
    <phoneticPr fontId="1" type="noConversion"/>
  </si>
  <si>
    <t>AK620G2双莫比乌斯</t>
    <phoneticPr fontId="1" type="noConversion"/>
  </si>
  <si>
    <t>AK620G2三莫比乌斯</t>
    <phoneticPr fontId="1" type="noConversion"/>
  </si>
  <si>
    <t>AK620G2单F9 R120</t>
    <phoneticPr fontId="1" type="noConversion"/>
  </si>
  <si>
    <t>AK620G2双F9 R120</t>
    <phoneticPr fontId="1" type="noConversion"/>
  </si>
  <si>
    <t>AK620G2三F9 R120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</si>
</sst>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A5"/>
  <sheetViews>
    <sheetView tabSelected="1" topLeftCell="J1" workbookViewId="0">
      <selection activeCell="J1" sqref="J1:L1"/>
    </sheetView>
  </sheetViews>
  <sheetFormatPr baseColWidth="10" defaultRowHeight="16"/>
  <sheetData>
    <row r="1" spans="1:27">
      <c r="A1" s="1" t="s">
        <v>6</v>
      </c>
      <c r="B1" s="1"/>
      <c r="C1" s="1"/>
      <c r="D1" s="1" t="s">
        <v>7</v>
      </c>
      <c r="E1" s="1"/>
      <c r="F1" s="1"/>
      <c r="G1" s="1" t="s">
        <v>8</v>
      </c>
      <c r="H1" s="1"/>
      <c r="I1" s="1"/>
      <c r="J1" s="1" t="s">
        <v>0</v>
      </c>
      <c r="K1" s="1"/>
      <c r="L1" s="1"/>
      <c r="M1" s="1" t="s">
        <v>1</v>
      </c>
      <c r="N1" s="1"/>
      <c r="O1" s="1"/>
      <c r="P1" s="1" t="s">
        <v>2</v>
      </c>
      <c r="Q1" s="1"/>
      <c r="R1" s="1"/>
      <c r="S1" s="1" t="s">
        <v>3</v>
      </c>
      <c r="T1" s="1"/>
      <c r="U1" s="1"/>
      <c r="V1" s="1" t="s">
        <v>4</v>
      </c>
      <c r="W1" s="1"/>
      <c r="X1" s="1"/>
      <c r="Y1" s="1" t="s">
        <v>5</v>
      </c>
      <c r="Z1" s="1"/>
      <c r="AA1" s="1"/>
    </row>
    <row r="2" spans="1:27">
      <c r="A2">
        <v>57</v>
      </c>
      <c r="B2">
        <f>78.9-27.3</f>
        <v>51.600000000000009</v>
      </c>
      <c r="C2">
        <v>2991</v>
      </c>
      <c r="D2">
        <v>60.4</v>
      </c>
      <c r="E2">
        <f>77.6-27.3</f>
        <v>50.3</v>
      </c>
      <c r="F2">
        <v>3062</v>
      </c>
      <c r="G2">
        <v>61.7</v>
      </c>
      <c r="H2">
        <f>76.5-27.3</f>
        <v>49.2</v>
      </c>
      <c r="I2">
        <v>3069</v>
      </c>
      <c r="J2">
        <v>43.8</v>
      </c>
      <c r="K2">
        <v>56.3</v>
      </c>
      <c r="L2">
        <v>2366</v>
      </c>
      <c r="M2">
        <v>46.2</v>
      </c>
      <c r="N2">
        <v>54.7</v>
      </c>
      <c r="O2">
        <v>2370</v>
      </c>
      <c r="P2">
        <v>47.5</v>
      </c>
      <c r="Q2">
        <v>54.3</v>
      </c>
      <c r="R2">
        <v>2384</v>
      </c>
      <c r="S2">
        <v>43.9</v>
      </c>
      <c r="T2">
        <v>54.8</v>
      </c>
      <c r="U2">
        <v>2392</v>
      </c>
      <c r="V2">
        <v>46.7</v>
      </c>
      <c r="W2">
        <v>52.4</v>
      </c>
      <c r="X2">
        <v>2384</v>
      </c>
      <c r="Y2">
        <v>47.9</v>
      </c>
      <c r="Z2">
        <v>52.1</v>
      </c>
      <c r="AA2">
        <v>2381</v>
      </c>
    </row>
    <row r="3" spans="1:27">
      <c r="A3">
        <v>50</v>
      </c>
      <c r="B3">
        <f>80.3-27.3</f>
        <v>53</v>
      </c>
      <c r="C3">
        <v>2332</v>
      </c>
      <c r="D3">
        <v>50</v>
      </c>
      <c r="E3">
        <f>79-27.3</f>
        <v>51.7</v>
      </c>
      <c r="F3">
        <v>2139</v>
      </c>
      <c r="G3">
        <v>50</v>
      </c>
      <c r="H3">
        <f>78.1-27.3</f>
        <v>50.8</v>
      </c>
      <c r="I3">
        <v>2065</v>
      </c>
      <c r="J3">
        <v>39.200000000000003</v>
      </c>
      <c r="K3">
        <v>57.8</v>
      </c>
      <c r="L3">
        <v>1964</v>
      </c>
      <c r="M3">
        <v>40.1</v>
      </c>
      <c r="N3">
        <v>56.2</v>
      </c>
      <c r="O3">
        <v>1896</v>
      </c>
      <c r="P3">
        <v>40</v>
      </c>
      <c r="Q3">
        <v>56.1</v>
      </c>
      <c r="R3">
        <v>1789</v>
      </c>
      <c r="S3">
        <v>39.9</v>
      </c>
      <c r="T3">
        <v>55.7</v>
      </c>
      <c r="U3">
        <v>2027</v>
      </c>
      <c r="V3">
        <v>40</v>
      </c>
      <c r="W3">
        <v>54.2</v>
      </c>
      <c r="X3">
        <v>1835</v>
      </c>
      <c r="Y3">
        <v>40</v>
      </c>
      <c r="Z3">
        <v>53.7</v>
      </c>
      <c r="AA3">
        <v>1771</v>
      </c>
    </row>
    <row r="4" spans="1:27">
      <c r="A4">
        <v>44.9</v>
      </c>
      <c r="B4">
        <f>82-27.3</f>
        <v>54.7</v>
      </c>
      <c r="C4">
        <v>1896</v>
      </c>
      <c r="D4">
        <v>44.9</v>
      </c>
      <c r="E4">
        <f>80.4-27.3</f>
        <v>53.100000000000009</v>
      </c>
      <c r="F4">
        <v>1744</v>
      </c>
      <c r="G4">
        <v>44.8</v>
      </c>
      <c r="H4">
        <f>79.2-27.3</f>
        <v>51.900000000000006</v>
      </c>
      <c r="I4">
        <v>1668</v>
      </c>
    </row>
    <row r="5" spans="1:27">
      <c r="A5">
        <v>40</v>
      </c>
      <c r="B5">
        <f>83.9-27.3</f>
        <v>56.600000000000009</v>
      </c>
      <c r="C5">
        <v>1564</v>
      </c>
      <c r="D5">
        <v>40</v>
      </c>
      <c r="E5">
        <f>82.2-27.3</f>
        <v>54.900000000000006</v>
      </c>
      <c r="F5">
        <v>1438</v>
      </c>
      <c r="G5">
        <v>40.1</v>
      </c>
      <c r="H5">
        <f>80.7-27.3</f>
        <v>53.400000000000006</v>
      </c>
      <c r="I5">
        <v>1410</v>
      </c>
    </row>
  </sheetData>
  <mergeCells count="9">
    <mergeCell ref="P1:R1"/>
    <mergeCell ref="V1:X1"/>
    <mergeCell ref="Y1:AA1"/>
    <mergeCell ref="S1:U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2026-01-04T08:28:54Z</dcterms:modified>
</cp:coreProperties>
</file>