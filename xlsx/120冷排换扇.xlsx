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_\Syncthing\"/>
    </mc:Choice>
  </mc:AlternateContent>
  <xr:revisionPtr revIDLastSave="0" documentId="13_ncr:1_{AF5E611D-D58A-4921-83F8-57CC919BD202}" xr6:coauthVersionLast="47" xr6:coauthVersionMax="47" xr10:uidLastSave="{00000000-0000-0000-0000-000000000000}"/>
  <bookViews>
    <workbookView xWindow="10162" yWindow="0" windowWidth="18720" windowHeight="155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R2" i="1"/>
  <c r="AO3" i="1"/>
  <c r="AO2" i="1"/>
  <c r="AL3" i="1"/>
  <c r="AL2" i="1"/>
  <c r="AI3" i="1"/>
  <c r="AI2" i="1"/>
  <c r="AF3" i="1"/>
  <c r="AF2" i="1"/>
  <c r="AC3" i="1"/>
  <c r="AC2" i="1"/>
  <c r="K2" i="1"/>
  <c r="Z4" i="1"/>
  <c r="Z3" i="1"/>
  <c r="Z2" i="1"/>
  <c r="T4" i="1"/>
  <c r="T3" i="1"/>
  <c r="T2" i="1"/>
  <c r="W4" i="1"/>
  <c r="W3" i="1"/>
  <c r="W2" i="1"/>
  <c r="Q4" i="1"/>
  <c r="Q3" i="1"/>
  <c r="Q2" i="1"/>
  <c r="N3" i="1"/>
  <c r="N2" i="1"/>
  <c r="K4" i="1"/>
  <c r="K3" i="1"/>
  <c r="H3" i="1"/>
  <c r="H2" i="1"/>
  <c r="E3" i="1"/>
  <c r="E2" i="1"/>
  <c r="B4" i="1"/>
  <c r="B3" i="1"/>
  <c r="B2" i="1"/>
</calcChain>
</file>

<file path=xl/sharedStrings.xml><?xml version="1.0" encoding="utf-8"?>
<sst xmlns="http://schemas.openxmlformats.org/spreadsheetml/2006/main" count="15" uniqueCount="15">
  <si>
    <t>9RA12025</t>
    <phoneticPr fontId="1" type="noConversion"/>
  </si>
  <si>
    <t>A120</t>
    <phoneticPr fontId="1" type="noConversion"/>
  </si>
  <si>
    <t>AT120K</t>
    <phoneticPr fontId="1" type="noConversion"/>
  </si>
  <si>
    <t>LP12E</t>
    <phoneticPr fontId="1" type="noConversion"/>
  </si>
  <si>
    <t>P12Pro</t>
    <phoneticPr fontId="1" type="noConversion"/>
  </si>
  <si>
    <t>玄冥静</t>
    <phoneticPr fontId="1" type="noConversion"/>
  </si>
  <si>
    <t>P12E</t>
    <phoneticPr fontId="1" type="noConversion"/>
  </si>
  <si>
    <t>F3 S120</t>
    <phoneticPr fontId="1" type="noConversion"/>
  </si>
  <si>
    <t>9RA9238垫高25mm</t>
    <phoneticPr fontId="1" type="noConversion"/>
  </si>
  <si>
    <t>GD3000</t>
    <phoneticPr fontId="1" type="noConversion"/>
  </si>
  <si>
    <t>SC12</t>
    <phoneticPr fontId="1" type="noConversion"/>
  </si>
  <si>
    <t>鸿华12025</t>
    <phoneticPr fontId="1" type="noConversion"/>
  </si>
  <si>
    <t>P2Pro</t>
    <phoneticPr fontId="1" type="noConversion"/>
  </si>
  <si>
    <t>FD12 V2</t>
    <phoneticPr fontId="1" type="noConversion"/>
  </si>
  <si>
    <t>FK12 V2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</si>
</sst>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topLeftCell="AF1" zoomScaleNormal="100" workbookViewId="0">
      <selection activeCell="AT8" sqref="AT8"/>
    </sheetView>
  </sheetViews>
  <sheetFormatPr defaultRowHeight="13.9" x14ac:dyDescent="0.4"/>
  <sheetData>
    <row r="1" spans="1:45" x14ac:dyDescent="0.4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8</v>
      </c>
      <c r="Z1" s="1"/>
      <c r="AA1" s="1"/>
      <c r="AB1" s="1" t="s">
        <v>9</v>
      </c>
      <c r="AC1" s="1"/>
      <c r="AD1" s="1"/>
      <c r="AE1" s="1" t="s">
        <v>10</v>
      </c>
      <c r="AF1" s="1"/>
      <c r="AG1" s="1"/>
      <c r="AH1" s="1" t="s">
        <v>11</v>
      </c>
      <c r="AI1" s="1"/>
      <c r="AJ1" s="1"/>
      <c r="AK1" s="1" t="s">
        <v>12</v>
      </c>
      <c r="AL1" s="1"/>
      <c r="AM1" s="1"/>
      <c r="AN1" s="1" t="s">
        <v>13</v>
      </c>
      <c r="AO1" s="1"/>
      <c r="AP1" s="1"/>
      <c r="AQ1" s="1" t="s">
        <v>14</v>
      </c>
      <c r="AR1" s="1"/>
      <c r="AS1" s="1"/>
    </row>
    <row r="2" spans="1:45" x14ac:dyDescent="0.4">
      <c r="A2">
        <v>51.8</v>
      </c>
      <c r="B2">
        <f>72.3-19.83</f>
        <v>52.47</v>
      </c>
      <c r="C2">
        <v>4016</v>
      </c>
      <c r="D2">
        <v>42</v>
      </c>
      <c r="E2">
        <f>74.6-19.87</f>
        <v>54.72999999999999</v>
      </c>
      <c r="F2">
        <v>2537</v>
      </c>
      <c r="G2">
        <v>46.3</v>
      </c>
      <c r="H2">
        <f>74.9-20.05</f>
        <v>54.850000000000009</v>
      </c>
      <c r="I2">
        <v>3025</v>
      </c>
      <c r="J2">
        <v>47.7</v>
      </c>
      <c r="K2">
        <f>73.7-20</f>
        <v>53.7</v>
      </c>
      <c r="L2">
        <v>3000</v>
      </c>
      <c r="M2">
        <v>46</v>
      </c>
      <c r="N2">
        <f>74.6-20.14</f>
        <v>54.459999999999994</v>
      </c>
      <c r="O2">
        <v>3007</v>
      </c>
      <c r="P2">
        <v>49.3</v>
      </c>
      <c r="Q2">
        <f>75-20.16</f>
        <v>54.84</v>
      </c>
      <c r="R2">
        <v>3250</v>
      </c>
      <c r="S2">
        <v>47.4</v>
      </c>
      <c r="T2">
        <f>74.1-20.24</f>
        <v>53.86</v>
      </c>
      <c r="U2">
        <v>2838</v>
      </c>
      <c r="V2">
        <v>47.2</v>
      </c>
      <c r="W2">
        <f>75.4-20.25</f>
        <v>55.150000000000006</v>
      </c>
      <c r="X2">
        <v>2684</v>
      </c>
      <c r="Y2">
        <v>59.9</v>
      </c>
      <c r="Z2">
        <f>70.8-20.14</f>
        <v>50.66</v>
      </c>
      <c r="AA2">
        <v>0</v>
      </c>
      <c r="AB2">
        <v>46.8</v>
      </c>
      <c r="AC2">
        <f>73.7-20.27</f>
        <v>53.430000000000007</v>
      </c>
      <c r="AD2">
        <v>2949</v>
      </c>
      <c r="AE2">
        <v>43.8</v>
      </c>
      <c r="AF2">
        <f>75-20.3</f>
        <v>54.7</v>
      </c>
      <c r="AG2">
        <v>1996</v>
      </c>
      <c r="AH2">
        <v>45</v>
      </c>
      <c r="AI2">
        <f>75.5-20.29</f>
        <v>55.21</v>
      </c>
      <c r="AJ2">
        <v>2363</v>
      </c>
      <c r="AK2">
        <v>43</v>
      </c>
      <c r="AL2">
        <f>75-20.32</f>
        <v>54.68</v>
      </c>
      <c r="AM2">
        <v>2502</v>
      </c>
      <c r="AN2">
        <v>42.6</v>
      </c>
      <c r="AO2">
        <f>75.5-20.33</f>
        <v>55.17</v>
      </c>
      <c r="AP2">
        <v>2487</v>
      </c>
      <c r="AQ2">
        <v>43.9</v>
      </c>
      <c r="AR2">
        <f>75.1-20.32</f>
        <v>54.779999999999994</v>
      </c>
      <c r="AS2">
        <v>2693</v>
      </c>
    </row>
    <row r="3" spans="1:45" x14ac:dyDescent="0.4">
      <c r="A3">
        <v>45.4</v>
      </c>
      <c r="B3">
        <f>74-19.86</f>
        <v>54.14</v>
      </c>
      <c r="C3">
        <v>3040</v>
      </c>
      <c r="D3">
        <v>39.9</v>
      </c>
      <c r="E3">
        <f>75.2-19.91</f>
        <v>55.290000000000006</v>
      </c>
      <c r="F3">
        <v>2308</v>
      </c>
      <c r="G3">
        <v>40.299999999999997</v>
      </c>
      <c r="H3">
        <f>76.3-19.96</f>
        <v>56.339999999999996</v>
      </c>
      <c r="I3">
        <v>2403</v>
      </c>
      <c r="J3">
        <v>44.7</v>
      </c>
      <c r="K3">
        <f>74.6-20.02</f>
        <v>54.58</v>
      </c>
      <c r="L3">
        <v>2613</v>
      </c>
      <c r="M3">
        <v>40</v>
      </c>
      <c r="N3">
        <f>75.9-20.15</f>
        <v>55.750000000000007</v>
      </c>
      <c r="O3">
        <v>2377</v>
      </c>
      <c r="P3">
        <v>44.8</v>
      </c>
      <c r="Q3">
        <f>76-20.2</f>
        <v>55.8</v>
      </c>
      <c r="R3">
        <v>2763</v>
      </c>
      <c r="S3">
        <v>45.2</v>
      </c>
      <c r="T3">
        <f>74.8-20.28</f>
        <v>54.519999999999996</v>
      </c>
      <c r="U3">
        <v>2615</v>
      </c>
      <c r="V3">
        <v>45</v>
      </c>
      <c r="W3">
        <f>76-20.25</f>
        <v>55.75</v>
      </c>
      <c r="X3">
        <v>2480</v>
      </c>
      <c r="Y3">
        <v>49.7</v>
      </c>
      <c r="Z3">
        <f>72.8-20.24</f>
        <v>52.56</v>
      </c>
      <c r="AA3">
        <v>0</v>
      </c>
      <c r="AB3">
        <v>40</v>
      </c>
      <c r="AC3">
        <f>75.5-20.26</f>
        <v>55.239999999999995</v>
      </c>
      <c r="AD3">
        <v>2254</v>
      </c>
      <c r="AE3">
        <v>40.4</v>
      </c>
      <c r="AF3">
        <f>75.6-20.3</f>
        <v>55.3</v>
      </c>
      <c r="AG3">
        <v>1728</v>
      </c>
      <c r="AH3">
        <v>40</v>
      </c>
      <c r="AI3">
        <f>77.3-20.35</f>
        <v>56.949999999999996</v>
      </c>
      <c r="AJ3">
        <v>1908</v>
      </c>
      <c r="AK3">
        <v>39.9</v>
      </c>
      <c r="AL3">
        <f>76-20.31</f>
        <v>55.69</v>
      </c>
      <c r="AM3">
        <v>2190</v>
      </c>
      <c r="AN3">
        <v>40.1</v>
      </c>
      <c r="AO3">
        <f>76.3-20.26</f>
        <v>56.039999999999992</v>
      </c>
      <c r="AP3">
        <v>2225</v>
      </c>
      <c r="AQ3">
        <v>40</v>
      </c>
      <c r="AR3">
        <f>76-20.36</f>
        <v>55.64</v>
      </c>
      <c r="AS3">
        <v>2333</v>
      </c>
    </row>
    <row r="4" spans="1:45" x14ac:dyDescent="0.4">
      <c r="A4">
        <v>40.1</v>
      </c>
      <c r="B4">
        <f>75.1-19.85</f>
        <v>55.249999999999993</v>
      </c>
      <c r="C4">
        <v>2500</v>
      </c>
      <c r="J4">
        <v>40</v>
      </c>
      <c r="K4">
        <f>75.7-20.07</f>
        <v>55.63</v>
      </c>
      <c r="L4">
        <v>2183</v>
      </c>
      <c r="P4">
        <v>40</v>
      </c>
      <c r="Q4">
        <f>77-20.1</f>
        <v>56.9</v>
      </c>
      <c r="R4">
        <v>2303</v>
      </c>
      <c r="S4">
        <v>40</v>
      </c>
      <c r="T4">
        <f>76.2-20.27</f>
        <v>55.930000000000007</v>
      </c>
      <c r="U4">
        <v>2157</v>
      </c>
      <c r="V4">
        <v>39.799999999999997</v>
      </c>
      <c r="W4">
        <f>77.6-20.19</f>
        <v>57.41</v>
      </c>
      <c r="X4">
        <v>2050</v>
      </c>
      <c r="Y4">
        <v>39.700000000000003</v>
      </c>
      <c r="Z4">
        <f>75.3-20.22</f>
        <v>55.08</v>
      </c>
      <c r="AA4">
        <v>0</v>
      </c>
    </row>
  </sheetData>
  <mergeCells count="15">
    <mergeCell ref="AK1:AM1"/>
    <mergeCell ref="AN1:AP1"/>
    <mergeCell ref="AQ1:AS1"/>
    <mergeCell ref="S1:U1"/>
    <mergeCell ref="V1:X1"/>
    <mergeCell ref="Y1:AA1"/>
    <mergeCell ref="AB1:AD1"/>
    <mergeCell ref="AE1:AG1"/>
    <mergeCell ref="AH1:AJ1"/>
    <mergeCell ref="A1:C1"/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Sky</cp:lastModifiedBy>
  <dcterms:created xsi:type="dcterms:W3CDTF">2015-06-05T18:19:34Z</dcterms:created>
  <dcterms:modified xsi:type="dcterms:W3CDTF">2026-02-14T18:30:14Z</dcterms:modified>
</cp:coreProperties>
</file>