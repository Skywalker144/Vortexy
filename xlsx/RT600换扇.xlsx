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xlsx/"/>
    </mc:Choice>
  </mc:AlternateContent>
  <xr:revisionPtr revIDLastSave="0" documentId="13_ncr:1_{A523D0E2-0C0E-0449-A963-2928AA088775}" xr6:coauthVersionLast="47" xr6:coauthVersionMax="47" xr10:uidLastSave="{00000000-0000-0000-0000-000000000000}"/>
  <bookViews>
    <workbookView xWindow="0" yWindow="620" windowWidth="28800" windowHeight="18040" xr2:uid="{0674E527-E1AB-E348-9FF3-CA6262F7D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" i="1" l="1"/>
  <c r="AU2" i="1"/>
  <c r="AR3" i="1"/>
  <c r="AR2" i="1"/>
  <c r="AO4" i="1"/>
  <c r="AO3" i="1"/>
  <c r="AO2" i="1"/>
  <c r="AL4" i="1"/>
  <c r="AL3" i="1"/>
  <c r="AL2" i="1"/>
  <c r="AI4" i="1"/>
  <c r="AI3" i="1"/>
  <c r="AI2" i="1"/>
  <c r="AF4" i="1"/>
  <c r="AF3" i="1"/>
  <c r="AF2" i="1"/>
  <c r="AC4" i="1"/>
  <c r="AC3" i="1"/>
  <c r="AC2" i="1"/>
  <c r="Z4" i="1"/>
  <c r="Z3" i="1"/>
  <c r="Z2" i="1"/>
  <c r="W3" i="1"/>
  <c r="W2" i="1"/>
  <c r="T3" i="1"/>
  <c r="T2" i="1"/>
  <c r="Q3" i="1"/>
  <c r="Q2" i="1"/>
  <c r="B2" i="1"/>
  <c r="B3" i="1"/>
  <c r="E3" i="1"/>
  <c r="E2" i="1"/>
  <c r="H3" i="1"/>
  <c r="H2" i="1"/>
  <c r="N3" i="1"/>
  <c r="N2" i="1"/>
</calcChain>
</file>

<file path=xl/sharedStrings.xml><?xml version="1.0" encoding="utf-8"?>
<sst xmlns="http://schemas.openxmlformats.org/spreadsheetml/2006/main" count="16" uniqueCount="16">
  <si>
    <t>F3 S120</t>
    <phoneticPr fontId="1" type="noConversion"/>
  </si>
  <si>
    <t>莫比乌斯</t>
    <phoneticPr fontId="1" type="noConversion"/>
  </si>
  <si>
    <t>P2Pro</t>
    <phoneticPr fontId="1" type="noConversion"/>
  </si>
  <si>
    <t>P28</t>
    <phoneticPr fontId="1" type="noConversion"/>
  </si>
  <si>
    <t>鸿华12025</t>
    <phoneticPr fontId="1" type="noConversion"/>
  </si>
  <si>
    <t>SC12</t>
    <phoneticPr fontId="1" type="noConversion"/>
  </si>
  <si>
    <t>AT120K</t>
    <phoneticPr fontId="1" type="noConversion"/>
  </si>
  <si>
    <t>MACH120</t>
    <phoneticPr fontId="1" type="noConversion"/>
  </si>
  <si>
    <t>F9 R120</t>
    <phoneticPr fontId="1" type="noConversion"/>
  </si>
  <si>
    <t>T30</t>
    <phoneticPr fontId="1" type="noConversion"/>
  </si>
  <si>
    <t>9RA12025</t>
    <phoneticPr fontId="1" type="noConversion"/>
  </si>
  <si>
    <t>LP12E</t>
    <phoneticPr fontId="1" type="noConversion"/>
  </si>
  <si>
    <t>A120</t>
    <phoneticPr fontId="1" type="noConversion"/>
  </si>
  <si>
    <t>广镰GT3000</t>
    <phoneticPr fontId="1" type="noConversion"/>
  </si>
  <si>
    <t>FK12 V2</t>
    <phoneticPr fontId="1" type="noConversion"/>
  </si>
  <si>
    <t>FD12 V2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</si>
</sst>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AV4"/>
  <sheetViews>
    <sheetView tabSelected="1" workbookViewId="0">
      <selection activeCell="G1" sqref="G1:I1"/>
    </sheetView>
  </sheetViews>
  <sheetFormatPr baseColWidth="10" defaultRowHeight="16"/>
  <sheetData>
    <row r="1" spans="1:48">
      <c r="A1" s="1" t="s">
        <v>0</v>
      </c>
      <c r="B1" s="1"/>
      <c r="C1" s="1"/>
      <c r="D1" s="1" t="s">
        <v>1</v>
      </c>
      <c r="E1" s="1"/>
      <c r="F1" s="1"/>
      <c r="G1" s="1" t="s">
        <v>15</v>
      </c>
      <c r="H1" s="1"/>
      <c r="I1" s="1"/>
      <c r="J1" s="1" t="s">
        <v>2</v>
      </c>
      <c r="K1" s="1"/>
      <c r="L1" s="1"/>
      <c r="M1" s="1" t="s">
        <v>3</v>
      </c>
      <c r="N1" s="1"/>
      <c r="O1" s="1"/>
      <c r="P1" s="1" t="s">
        <v>4</v>
      </c>
      <c r="Q1" s="1"/>
      <c r="R1" s="1"/>
      <c r="S1" s="1" t="s">
        <v>14</v>
      </c>
      <c r="T1" s="1"/>
      <c r="U1" s="1"/>
      <c r="V1" s="1" t="s">
        <v>5</v>
      </c>
      <c r="W1" s="1"/>
      <c r="X1" s="1"/>
      <c r="Y1" s="1" t="s">
        <v>6</v>
      </c>
      <c r="Z1" s="1"/>
      <c r="AA1" s="1"/>
      <c r="AB1" s="1" t="s">
        <v>7</v>
      </c>
      <c r="AC1" s="1"/>
      <c r="AD1" s="1"/>
      <c r="AE1" s="1" t="s">
        <v>8</v>
      </c>
      <c r="AF1" s="1"/>
      <c r="AG1" s="1"/>
      <c r="AH1" s="1" t="s">
        <v>9</v>
      </c>
      <c r="AI1" s="1"/>
      <c r="AJ1" s="1"/>
      <c r="AK1" s="1" t="s">
        <v>10</v>
      </c>
      <c r="AL1" s="1"/>
      <c r="AM1" s="1"/>
      <c r="AN1" s="1" t="s">
        <v>11</v>
      </c>
      <c r="AO1" s="1"/>
      <c r="AP1" s="1"/>
      <c r="AQ1" s="1" t="s">
        <v>12</v>
      </c>
      <c r="AR1" s="1"/>
      <c r="AS1" s="1"/>
      <c r="AT1" s="1" t="s">
        <v>13</v>
      </c>
      <c r="AU1" s="1"/>
      <c r="AV1" s="1"/>
    </row>
    <row r="2" spans="1:48">
      <c r="A2">
        <v>48.7</v>
      </c>
      <c r="B2">
        <f>76.4-20.7</f>
        <v>55.7</v>
      </c>
      <c r="C2">
        <v>2684</v>
      </c>
      <c r="D2">
        <v>42.7</v>
      </c>
      <c r="E2">
        <f>77-20.7</f>
        <v>56.3</v>
      </c>
      <c r="F2">
        <v>2352</v>
      </c>
      <c r="G2">
        <v>44.1</v>
      </c>
      <c r="H2">
        <f>76.6-20.7</f>
        <v>55.899999999999991</v>
      </c>
      <c r="I2">
        <v>2502</v>
      </c>
      <c r="J2">
        <v>47.5</v>
      </c>
      <c r="K2">
        <v>55.2</v>
      </c>
      <c r="L2">
        <v>2595</v>
      </c>
      <c r="M2">
        <v>47.4</v>
      </c>
      <c r="N2">
        <f>75.9-20.5</f>
        <v>55.400000000000006</v>
      </c>
      <c r="O2">
        <v>2600</v>
      </c>
      <c r="P2">
        <v>43.4</v>
      </c>
      <c r="Q2">
        <f>76.7-20.7</f>
        <v>56</v>
      </c>
      <c r="R2">
        <v>2272</v>
      </c>
      <c r="S2">
        <v>45.4</v>
      </c>
      <c r="T2">
        <f>76.2-20.7</f>
        <v>55.5</v>
      </c>
      <c r="U2">
        <v>2711</v>
      </c>
      <c r="V2">
        <v>45.5</v>
      </c>
      <c r="W2">
        <f>76.7-20.7</f>
        <v>56</v>
      </c>
      <c r="X2">
        <v>1983</v>
      </c>
      <c r="Y2">
        <v>50.7</v>
      </c>
      <c r="Z2">
        <f>76.3-20.7</f>
        <v>55.599999999999994</v>
      </c>
      <c r="AA2">
        <v>3053</v>
      </c>
      <c r="AB2">
        <v>53.9</v>
      </c>
      <c r="AC2">
        <f>74.8-20.7</f>
        <v>54.099999999999994</v>
      </c>
      <c r="AD2">
        <v>3057</v>
      </c>
      <c r="AE2">
        <v>56.3</v>
      </c>
      <c r="AF2">
        <f>74.4-20.7</f>
        <v>53.7</v>
      </c>
      <c r="AG2">
        <v>3000</v>
      </c>
      <c r="AH2">
        <v>53.5</v>
      </c>
      <c r="AI2">
        <f>74.9-20.6</f>
        <v>54.300000000000004</v>
      </c>
      <c r="AJ2">
        <v>2985</v>
      </c>
      <c r="AK2">
        <v>56.7</v>
      </c>
      <c r="AL2">
        <f>74.1-20.5</f>
        <v>53.599999999999994</v>
      </c>
      <c r="AM2">
        <v>4095</v>
      </c>
      <c r="AN2">
        <v>53.7</v>
      </c>
      <c r="AO2">
        <f>74.7-20.6</f>
        <v>54.1</v>
      </c>
      <c r="AP2">
        <v>3015</v>
      </c>
      <c r="AQ2">
        <v>46.2</v>
      </c>
      <c r="AR2">
        <f>76.4-20.6</f>
        <v>55.800000000000004</v>
      </c>
      <c r="AS2">
        <v>2558</v>
      </c>
      <c r="AT2">
        <v>50.8</v>
      </c>
      <c r="AU2">
        <f>78.1-22</f>
        <v>56.099999999999994</v>
      </c>
      <c r="AV2">
        <v>2919</v>
      </c>
    </row>
    <row r="3" spans="1:48">
      <c r="A3">
        <v>40.1</v>
      </c>
      <c r="B3">
        <f>78.3-20.7</f>
        <v>57.599999999999994</v>
      </c>
      <c r="C3">
        <v>1918</v>
      </c>
      <c r="D3">
        <v>39.9</v>
      </c>
      <c r="E3">
        <f>77.8-20.6</f>
        <v>57.199999999999996</v>
      </c>
      <c r="F3">
        <v>2078</v>
      </c>
      <c r="G3">
        <v>39.9</v>
      </c>
      <c r="H3">
        <f>77.7-20.7</f>
        <v>57</v>
      </c>
      <c r="I3">
        <v>2101</v>
      </c>
      <c r="J3">
        <v>40.1</v>
      </c>
      <c r="K3">
        <v>57</v>
      </c>
      <c r="L3">
        <v>1944</v>
      </c>
      <c r="M3">
        <v>40</v>
      </c>
      <c r="N3">
        <f>77.9-20.6</f>
        <v>57.300000000000004</v>
      </c>
      <c r="O3">
        <v>1920</v>
      </c>
      <c r="P3">
        <v>39.9</v>
      </c>
      <c r="Q3">
        <f>77.6-20.7</f>
        <v>56.899999999999991</v>
      </c>
      <c r="R3">
        <v>1967</v>
      </c>
      <c r="S3">
        <v>40.1</v>
      </c>
      <c r="T3">
        <f>77.6-20.7</f>
        <v>56.899999999999991</v>
      </c>
      <c r="U3">
        <v>2167</v>
      </c>
      <c r="V3">
        <v>40</v>
      </c>
      <c r="W3">
        <f>78.1-20.6</f>
        <v>57.499999999999993</v>
      </c>
      <c r="X3">
        <v>1609</v>
      </c>
      <c r="Y3">
        <v>45</v>
      </c>
      <c r="Z3">
        <f>77.6-20.7</f>
        <v>56.899999999999991</v>
      </c>
      <c r="AA3">
        <v>2404</v>
      </c>
      <c r="AB3">
        <v>45</v>
      </c>
      <c r="AC3">
        <f>76.9-20.6</f>
        <v>56.300000000000004</v>
      </c>
      <c r="AD3">
        <v>2181</v>
      </c>
      <c r="AE3">
        <v>45</v>
      </c>
      <c r="AF3">
        <f>77-20.6</f>
        <v>56.4</v>
      </c>
      <c r="AG3">
        <v>1956</v>
      </c>
      <c r="AH3">
        <v>45</v>
      </c>
      <c r="AI3">
        <f>76.8-20.6</f>
        <v>56.199999999999996</v>
      </c>
      <c r="AJ3">
        <v>2181</v>
      </c>
      <c r="AK3">
        <v>44.9</v>
      </c>
      <c r="AL3">
        <f>76.8-20.5</f>
        <v>56.3</v>
      </c>
      <c r="AM3">
        <v>2520</v>
      </c>
      <c r="AN3">
        <v>45</v>
      </c>
      <c r="AO3">
        <f>76.7-20.5</f>
        <v>56.2</v>
      </c>
      <c r="AP3">
        <v>2167</v>
      </c>
      <c r="AQ3">
        <v>40</v>
      </c>
      <c r="AR3">
        <f>77.9-20.6</f>
        <v>57.300000000000004</v>
      </c>
      <c r="AS3">
        <v>1949</v>
      </c>
      <c r="AT3">
        <v>40</v>
      </c>
      <c r="AU3">
        <f>80.2-22.1</f>
        <v>58.1</v>
      </c>
      <c r="AV3">
        <v>1939</v>
      </c>
    </row>
    <row r="4" spans="1:48">
      <c r="Y4">
        <v>40</v>
      </c>
      <c r="Z4">
        <f>79-20.7</f>
        <v>58.3</v>
      </c>
      <c r="AA4">
        <v>1938</v>
      </c>
      <c r="AB4">
        <v>40</v>
      </c>
      <c r="AC4">
        <f>78.1-20.6</f>
        <v>57.499999999999993</v>
      </c>
      <c r="AD4">
        <v>1786</v>
      </c>
      <c r="AE4">
        <v>40.1</v>
      </c>
      <c r="AF4">
        <f>78.4-20.6</f>
        <v>57.800000000000004</v>
      </c>
      <c r="AG4">
        <v>1576</v>
      </c>
      <c r="AH4">
        <v>40</v>
      </c>
      <c r="AI4">
        <f>78.1-20.6</f>
        <v>57.499999999999993</v>
      </c>
      <c r="AJ4">
        <v>1770</v>
      </c>
      <c r="AK4">
        <v>40</v>
      </c>
      <c r="AL4">
        <f>77.9-20.5</f>
        <v>57.400000000000006</v>
      </c>
      <c r="AM4">
        <v>2092</v>
      </c>
      <c r="AN4">
        <v>40</v>
      </c>
      <c r="AO4">
        <f>78.1-20.5</f>
        <v>57.599999999999994</v>
      </c>
      <c r="AP4">
        <v>1750</v>
      </c>
    </row>
  </sheetData>
  <mergeCells count="16">
    <mergeCell ref="AK1:AM1"/>
    <mergeCell ref="AN1:AP1"/>
    <mergeCell ref="AQ1:AS1"/>
    <mergeCell ref="AT1:AV1"/>
    <mergeCell ref="V1:X1"/>
    <mergeCell ref="Y1:AA1"/>
    <mergeCell ref="AB1:AD1"/>
    <mergeCell ref="AE1:AG1"/>
    <mergeCell ref="AH1:AJ1"/>
    <mergeCell ref="S1:U1"/>
    <mergeCell ref="A1:C1"/>
    <mergeCell ref="D1:F1"/>
    <mergeCell ref="G1:I1"/>
    <mergeCell ref="J1:L1"/>
    <mergeCell ref="M1:O1"/>
    <mergeCell ref="P1: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2026-01-08T09:01:34Z</dcterms:modified>
</cp:coreProperties>
</file>