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6D76198C-62E3-E14F-A4EE-FB786F6436BC}" xr6:coauthVersionLast="47" xr6:coauthVersionMax="47" xr10:uidLastSave="{00000000-0000-0000-0000-000000000000}"/>
  <bookViews>
    <workbookView xWindow="2620" yWindow="2240" windowWidth="28240" windowHeight="164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K3" i="1"/>
  <c r="K2" i="1"/>
</calcChain>
</file>

<file path=xl/sharedStrings.xml><?xml version="1.0" encoding="utf-8"?>
<sst xmlns="http://schemas.openxmlformats.org/spreadsheetml/2006/main" count="17" uniqueCount="17">
  <si>
    <t>双LP12E</t>
    <phoneticPr fontId="1" type="noConversion"/>
  </si>
  <si>
    <t>双9RA12025</t>
    <phoneticPr fontId="1" type="noConversion"/>
  </si>
  <si>
    <t>SC12</t>
    <phoneticPr fontId="1" type="noConversion"/>
  </si>
  <si>
    <t>A120_11月初版本</t>
    <phoneticPr fontId="1" type="noConversion"/>
  </si>
  <si>
    <t>ABF1212HH</t>
    <phoneticPr fontId="1" type="noConversion"/>
  </si>
  <si>
    <t>P2Pro</t>
    <phoneticPr fontId="1" type="noConversion"/>
  </si>
  <si>
    <t>鸿华12025</t>
    <phoneticPr fontId="1" type="noConversion"/>
  </si>
  <si>
    <t>T30</t>
    <phoneticPr fontId="1" type="noConversion"/>
  </si>
  <si>
    <t>MACH120</t>
    <phoneticPr fontId="1" type="noConversion"/>
  </si>
  <si>
    <t>F9 R120</t>
    <phoneticPr fontId="1" type="noConversion"/>
  </si>
  <si>
    <t>LP12E</t>
    <phoneticPr fontId="1" type="noConversion"/>
  </si>
  <si>
    <t>9RA12025</t>
    <phoneticPr fontId="1" type="noConversion"/>
  </si>
  <si>
    <t>FD12 V2</t>
    <phoneticPr fontId="1" type="noConversion"/>
  </si>
  <si>
    <t>双FD12 V2</t>
    <phoneticPr fontId="1" type="noConversion"/>
  </si>
  <si>
    <t>莫比乌斯</t>
    <phoneticPr fontId="1" type="noConversion"/>
  </si>
  <si>
    <t>双莫比乌斯</t>
    <phoneticPr fontId="1" type="noConversion"/>
  </si>
  <si>
    <t>FK12 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</si>
</sst>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Y4"/>
  <sheetViews>
    <sheetView tabSelected="1" topLeftCell="F1" workbookViewId="0">
      <selection activeCell="M4" sqref="M4:O4"/>
    </sheetView>
  </sheetViews>
  <sheetFormatPr baseColWidth="10" defaultRowHeight="16"/>
  <sheetData>
    <row r="1" spans="1:51">
      <c r="A1" s="1" t="s">
        <v>10</v>
      </c>
      <c r="B1" s="1"/>
      <c r="C1" s="1"/>
      <c r="D1" s="1" t="s">
        <v>0</v>
      </c>
      <c r="E1" s="1"/>
      <c r="F1" s="1"/>
      <c r="G1" s="1" t="s">
        <v>12</v>
      </c>
      <c r="H1" s="1"/>
      <c r="I1" s="1"/>
      <c r="J1" s="1" t="s">
        <v>13</v>
      </c>
      <c r="K1" s="1"/>
      <c r="L1" s="1"/>
      <c r="M1" s="1" t="s">
        <v>14</v>
      </c>
      <c r="N1" s="1"/>
      <c r="O1" s="1"/>
      <c r="P1" s="1" t="s">
        <v>15</v>
      </c>
      <c r="Q1" s="1"/>
      <c r="R1" s="1"/>
      <c r="S1" s="1" t="s">
        <v>11</v>
      </c>
      <c r="T1" s="1"/>
      <c r="U1" s="1"/>
      <c r="V1" s="1" t="s">
        <v>1</v>
      </c>
      <c r="W1" s="1"/>
      <c r="X1" s="1"/>
      <c r="Y1" s="1" t="s">
        <v>2</v>
      </c>
      <c r="Z1" s="1"/>
      <c r="AA1" s="1"/>
      <c r="AB1" s="1" t="s">
        <v>3</v>
      </c>
      <c r="AC1" s="1"/>
      <c r="AD1" s="1"/>
      <c r="AE1" s="1" t="s">
        <v>16</v>
      </c>
      <c r="AF1" s="1"/>
      <c r="AG1" s="1"/>
      <c r="AH1" s="1" t="s">
        <v>4</v>
      </c>
      <c r="AI1" s="1"/>
      <c r="AJ1" s="1"/>
      <c r="AK1" s="1" t="s">
        <v>5</v>
      </c>
      <c r="AL1" s="1"/>
      <c r="AM1" s="1"/>
      <c r="AN1" s="1" t="s">
        <v>6</v>
      </c>
      <c r="AO1" s="1"/>
      <c r="AP1" s="1"/>
      <c r="AQ1" s="1" t="s">
        <v>7</v>
      </c>
      <c r="AR1" s="1"/>
      <c r="AS1" s="1"/>
      <c r="AT1" s="1" t="s">
        <v>8</v>
      </c>
      <c r="AU1" s="1"/>
      <c r="AV1" s="1"/>
      <c r="AW1" s="1" t="s">
        <v>9</v>
      </c>
      <c r="AX1" s="1"/>
      <c r="AY1" s="1"/>
    </row>
    <row r="2" spans="1:51">
      <c r="A2">
        <v>52.3</v>
      </c>
      <c r="B2">
        <v>54.1</v>
      </c>
      <c r="C2">
        <v>3015</v>
      </c>
      <c r="D2">
        <v>55.5</v>
      </c>
      <c r="E2">
        <v>53.9</v>
      </c>
      <c r="F2">
        <v>3000</v>
      </c>
      <c r="G2">
        <v>42.8</v>
      </c>
      <c r="H2">
        <f>76.9-21.8</f>
        <v>55.100000000000009</v>
      </c>
      <c r="I2">
        <v>2500</v>
      </c>
      <c r="J2">
        <v>45.2</v>
      </c>
      <c r="K2">
        <f>76.3-21.8</f>
        <v>54.5</v>
      </c>
      <c r="L2">
        <v>2500</v>
      </c>
      <c r="M2">
        <v>41.4</v>
      </c>
      <c r="N2">
        <v>55.5</v>
      </c>
      <c r="O2">
        <v>2371</v>
      </c>
      <c r="P2">
        <v>45.56</v>
      </c>
      <c r="Q2">
        <v>55.1</v>
      </c>
      <c r="R2">
        <v>2385</v>
      </c>
      <c r="S2">
        <v>55.5</v>
      </c>
      <c r="T2">
        <v>53.5</v>
      </c>
      <c r="U2">
        <v>4133</v>
      </c>
      <c r="V2">
        <v>59.2</v>
      </c>
      <c r="W2">
        <v>52.9</v>
      </c>
      <c r="X2">
        <v>4230</v>
      </c>
      <c r="Y2">
        <v>44.3</v>
      </c>
      <c r="Z2">
        <v>55.1</v>
      </c>
      <c r="AA2">
        <v>1990</v>
      </c>
      <c r="AB2">
        <v>45</v>
      </c>
      <c r="AC2">
        <v>54.3</v>
      </c>
      <c r="AD2">
        <v>2550</v>
      </c>
      <c r="AE2">
        <v>44</v>
      </c>
      <c r="AF2">
        <v>54.6</v>
      </c>
      <c r="AG2">
        <v>2708</v>
      </c>
      <c r="AH2">
        <v>49.6</v>
      </c>
      <c r="AI2">
        <v>54.6</v>
      </c>
      <c r="AJ2">
        <v>2813</v>
      </c>
      <c r="AK2">
        <v>46</v>
      </c>
      <c r="AL2">
        <v>54.1</v>
      </c>
      <c r="AM2">
        <v>2594</v>
      </c>
      <c r="AN2">
        <v>41.8</v>
      </c>
      <c r="AO2">
        <v>55.1</v>
      </c>
      <c r="AP2">
        <v>2280</v>
      </c>
      <c r="AQ2">
        <v>50.8</v>
      </c>
      <c r="AR2">
        <v>53.7</v>
      </c>
      <c r="AS2">
        <v>3022</v>
      </c>
      <c r="AT2">
        <v>52.2</v>
      </c>
      <c r="AU2">
        <v>54</v>
      </c>
      <c r="AV2">
        <v>3053</v>
      </c>
      <c r="AW2">
        <v>55</v>
      </c>
      <c r="AX2">
        <v>53.2</v>
      </c>
      <c r="AY2">
        <v>2996</v>
      </c>
    </row>
    <row r="3" spans="1:51">
      <c r="A3">
        <v>46</v>
      </c>
      <c r="B3">
        <v>55.2</v>
      </c>
      <c r="C3">
        <v>2396</v>
      </c>
      <c r="D3">
        <v>46</v>
      </c>
      <c r="E3">
        <v>55</v>
      </c>
      <c r="F3">
        <v>2222</v>
      </c>
      <c r="G3">
        <v>40</v>
      </c>
      <c r="H3">
        <f>77.6-21.8</f>
        <v>55.8</v>
      </c>
      <c r="I3">
        <v>2228</v>
      </c>
      <c r="J3">
        <v>40</v>
      </c>
      <c r="K3">
        <f>77.1-21.8</f>
        <v>55.3</v>
      </c>
      <c r="L3">
        <v>2040</v>
      </c>
      <c r="M3">
        <v>40</v>
      </c>
      <c r="N3">
        <v>55.85</v>
      </c>
      <c r="O3">
        <v>2261</v>
      </c>
      <c r="P3">
        <v>42.64</v>
      </c>
      <c r="Q3">
        <v>55.5</v>
      </c>
      <c r="R3">
        <v>2156</v>
      </c>
      <c r="S3">
        <v>47</v>
      </c>
      <c r="T3">
        <v>55.3</v>
      </c>
      <c r="U3">
        <v>3000</v>
      </c>
      <c r="V3">
        <v>50.1</v>
      </c>
      <c r="W3">
        <v>54.2</v>
      </c>
      <c r="X3">
        <v>3022</v>
      </c>
      <c r="Y3">
        <v>40</v>
      </c>
      <c r="Z3">
        <v>56.7</v>
      </c>
      <c r="AA3">
        <v>1666</v>
      </c>
      <c r="AB3">
        <v>40</v>
      </c>
      <c r="AC3">
        <v>56.1</v>
      </c>
      <c r="AD3">
        <v>2092</v>
      </c>
      <c r="AE3">
        <v>40</v>
      </c>
      <c r="AF3">
        <v>55.9</v>
      </c>
      <c r="AG3">
        <v>2270</v>
      </c>
      <c r="AH3">
        <v>40.200000000000003</v>
      </c>
      <c r="AI3">
        <v>57.1</v>
      </c>
      <c r="AJ3">
        <v>1941</v>
      </c>
      <c r="AK3">
        <v>40</v>
      </c>
      <c r="AL3">
        <v>55.8</v>
      </c>
      <c r="AM3">
        <v>2042</v>
      </c>
      <c r="AN3">
        <v>40.1</v>
      </c>
      <c r="AO3">
        <v>55.7</v>
      </c>
      <c r="AP3">
        <v>2110</v>
      </c>
      <c r="AQ3">
        <v>40</v>
      </c>
      <c r="AR3">
        <v>56.5</v>
      </c>
      <c r="AS3">
        <v>1893</v>
      </c>
      <c r="AT3">
        <v>40</v>
      </c>
      <c r="AU3">
        <v>56.8</v>
      </c>
      <c r="AV3">
        <v>1905</v>
      </c>
      <c r="AW3">
        <v>40</v>
      </c>
      <c r="AX3">
        <v>56.7</v>
      </c>
      <c r="AY3">
        <v>1644</v>
      </c>
    </row>
    <row r="4" spans="1:51">
      <c r="A4">
        <v>40</v>
      </c>
      <c r="B4">
        <v>56.8</v>
      </c>
      <c r="C4">
        <v>1900</v>
      </c>
      <c r="D4">
        <v>40</v>
      </c>
      <c r="E4">
        <v>56.4</v>
      </c>
      <c r="F4">
        <v>1772</v>
      </c>
      <c r="P4">
        <v>39</v>
      </c>
      <c r="Q4">
        <v>56</v>
      </c>
      <c r="R4">
        <v>1948</v>
      </c>
      <c r="S4">
        <v>40.299999999999997</v>
      </c>
      <c r="T4">
        <v>57</v>
      </c>
      <c r="U4">
        <v>2290</v>
      </c>
      <c r="V4">
        <v>40</v>
      </c>
      <c r="W4">
        <v>56.5</v>
      </c>
      <c r="X4">
        <v>2050</v>
      </c>
    </row>
  </sheetData>
  <mergeCells count="17">
    <mergeCell ref="AT1:AV1"/>
    <mergeCell ref="AW1:AY1"/>
    <mergeCell ref="Y1:AA1"/>
    <mergeCell ref="AB1:AD1"/>
    <mergeCell ref="AE1:AG1"/>
    <mergeCell ref="AH1:AJ1"/>
    <mergeCell ref="AK1:AM1"/>
    <mergeCell ref="P1:R1"/>
    <mergeCell ref="S1:U1"/>
    <mergeCell ref="V1:X1"/>
    <mergeCell ref="AN1:AP1"/>
    <mergeCell ref="AQ1:AS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2026-01-06T04:38:24Z</dcterms:modified>
</cp:coreProperties>
</file>